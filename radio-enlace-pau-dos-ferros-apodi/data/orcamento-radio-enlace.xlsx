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Materiais" sheetId="2" r:id="rId5"/>
    <sheet state="visible" name="Servicos" sheetId="3" r:id="rId6"/>
    <sheet state="visible" name="Fontes e Premissas" sheetId="4" r:id="rId7"/>
  </sheets>
  <definedNames>
    <definedName hidden="1" localSheetId="1" name="_xlnm._FilterDatabase">Materiais!$B$5:$P$19</definedName>
    <definedName hidden="1" localSheetId="3" name="_xlnm._FilterDatabase">'Fontes e Premissas'!$B$5:$H$27</definedName>
  </definedNames>
  <calcPr/>
  <extLst>
    <ext uri="GoogleSheetsCustomDataVersion2">
      <go:sheetsCustomData xmlns:go="http://customooxmlschemas.google.com/" r:id="rId8" roundtripDataChecksum="N/THR8xb10hU28f9y2qE6ejzDzpWKggtPOQBeig6OKc="/>
    </ext>
  </extLst>
</workbook>
</file>

<file path=xl/sharedStrings.xml><?xml version="1.0" encoding="utf-8"?>
<sst xmlns="http://schemas.openxmlformats.org/spreadsheetml/2006/main" count="312" uniqueCount="246">
  <si>
    <t>Orçamento de materiais — enlace Pau dos Ferros ↔ Repetidora ↔ Apodi</t>
  </si>
  <si>
    <t>Orçamento preliminar — Rádio Enlace UFERSA</t>
  </si>
  <si>
    <t>Serviços, logística e reservas</t>
  </si>
  <si>
    <t>Pau dos Ferros ↔ Repetidora ↔ Apodi | Data-base 29/09/2026</t>
  </si>
  <si>
    <t>Data-base: 29/09/2026 | Valores em reais | Cenários mínimo, base e alto</t>
  </si>
  <si>
    <t>Premissas editáveis em azul; totais calculados por fórmulas</t>
  </si>
  <si>
    <t>Categoria</t>
  </si>
  <si>
    <t>Item</t>
  </si>
  <si>
    <t>#gid=1142211786&amp;range=B2</t>
  </si>
  <si>
    <t>Modelo / descrição</t>
  </si>
  <si>
    <t>Qtd. informada</t>
  </si>
  <si>
    <t>Qtd. técnica</t>
  </si>
  <si>
    <t>Qtd. compra</t>
  </si>
  <si>
    <t>Unidade</t>
  </si>
  <si>
    <t>Preço mín.</t>
  </si>
  <si>
    <t>Preço base</t>
  </si>
  <si>
    <t>Critério</t>
  </si>
  <si>
    <t>Preço alto</t>
  </si>
  <si>
    <t>Qtd.</t>
  </si>
  <si>
    <t>Total mín.</t>
  </si>
  <si>
    <t>Custo mín.</t>
  </si>
  <si>
    <t>Custo base</t>
  </si>
  <si>
    <t>Custo alto</t>
  </si>
  <si>
    <t>Total base</t>
  </si>
  <si>
    <t>Total alto</t>
  </si>
  <si>
    <t>Fonte / critério</t>
  </si>
  <si>
    <t>Tratamento</t>
  </si>
  <si>
    <t>Observação</t>
  </si>
  <si>
    <t>Rádio</t>
  </si>
  <si>
    <t>Ubiquiti airFiber 5XHD (AF-5XHD-BR)</t>
  </si>
  <si>
    <t>Montagem das torres, lançamento de cabos, instalação e alinhamento</t>
  </si>
  <si>
    <t>Provisão por site; exigir equipe NR-10/NR-35 e responsável técnico</t>
  </si>
  <si>
    <t>peça</t>
  </si>
  <si>
    <t>#gid=1978796414&amp;range=B2</t>
  </si>
  <si>
    <t>site</t>
  </si>
  <si>
    <t>#gid=1184084880&amp;range=B2</t>
  </si>
  <si>
    <t>Estimativa consolidada</t>
  </si>
  <si>
    <t>Componente</t>
  </si>
  <si>
    <t>Mínimo</t>
  </si>
  <si>
    <t>Base recomendada</t>
  </si>
  <si>
    <t>Alto</t>
  </si>
  <si>
    <t>Materiais</t>
  </si>
  <si>
    <t>F01/F02/F03</t>
  </si>
  <si>
    <t>Comprar</t>
  </si>
  <si>
    <t>Dois enlaces independentes exigem 4 rádios: A, 2 na repetidora e B.</t>
  </si>
  <si>
    <t>Antena</t>
  </si>
  <si>
    <t>Ubiquiti AF-5G30-S45, 30 dBi</t>
  </si>
  <si>
    <t>P04</t>
  </si>
  <si>
    <t>Projeto executivo, memorial, ART e comissionamento</t>
  </si>
  <si>
    <t>F04/F05</t>
  </si>
  <si>
    <t>Provisão global; escopo final a cotar</t>
  </si>
  <si>
    <t>Uma antena por rádio; total de 4.</t>
  </si>
  <si>
    <t>lote</t>
  </si>
  <si>
    <t>Alimentação</t>
  </si>
  <si>
    <t>PoE Gigabit 24 V/1 A, modelo POE-24V-5X-HD</t>
  </si>
  <si>
    <t>F06</t>
  </si>
  <si>
    <t>Incluso</t>
  </si>
  <si>
    <t>P05</t>
  </si>
  <si>
    <t>Frete e logística</t>
  </si>
  <si>
    <t>Percentual sobre materiais</t>
  </si>
  <si>
    <t>percentual</t>
  </si>
  <si>
    <t>O adaptador correto acompanha cada AF-5XHD; não comprar INS-3G-24V separadamente.</t>
  </si>
  <si>
    <t>Sincronismo</t>
  </si>
  <si>
    <t>Antena GPS externa com base magnética</t>
  </si>
  <si>
    <t>A antena GPS acompanha cada rádio.</t>
  </si>
  <si>
    <t>Cabeamento</t>
  </si>
  <si>
    <t>UISP Cable Carrier/TOUGHCable Carrier, caixa 305 m, Cat5e blindado outdoor</t>
  </si>
  <si>
    <t>caixa 305 m</t>
  </si>
  <si>
    <t>F07</t>
  </si>
  <si>
    <t>110 m tende a ser insuficiente para 4 descidas; reserva técnica adotada: 150 m. O produto Ubiquiti é Cat5e, não Cat6.</t>
  </si>
  <si>
    <t>Conectividade</t>
  </si>
  <si>
    <t>TOUGHConnector TC-GND, caixa com 20</t>
  </si>
  <si>
    <t>caixa 20</t>
  </si>
  <si>
    <t>Serviços, frete e contingência</t>
  </si>
  <si>
    <t>F08</t>
  </si>
  <si>
    <t>P06</t>
  </si>
  <si>
    <t>São necessários ao menos 8 conectores para 4 descidas; a embalagem cobre sobressalentes.</t>
  </si>
  <si>
    <t>RF</t>
  </si>
  <si>
    <t>Reserva de contingência</t>
  </si>
  <si>
    <t>Jumpers/pigtails RF resistentes ao tempo</t>
  </si>
  <si>
    <t>Percentual sobre materiais + serviços + frete</t>
  </si>
  <si>
    <t>F09</t>
  </si>
  <si>
    <t>A AF-5G30-S45 inclui jumpers RF; confirmar conteúdo na compra.</t>
  </si>
  <si>
    <t>Proteção</t>
  </si>
  <si>
    <t>Ubiquiti ETH-SP-G2</t>
  </si>
  <si>
    <t>TOTAL DO PROJETO</t>
  </si>
  <si>
    <t>F10/F11</t>
  </si>
  <si>
    <t>A Ubiquiti recomenda dois protetores por rádio: próximo ao equipamento e na entrada da instalação.</t>
  </si>
  <si>
    <t>Fixação</t>
  </si>
  <si>
    <t>airFiber X mount, suporte da antena e ferragens principais</t>
  </si>
  <si>
    <t>kit</t>
  </si>
  <si>
    <t>F06/F09</t>
  </si>
  <si>
    <t>Suportes principais acompanham rádio/antena.</t>
  </si>
  <si>
    <t>Ferragens complementares, prensa-cabos, abraçadeiras UV e eletrodutos</t>
  </si>
  <si>
    <t>kit/site</t>
  </si>
  <si>
    <t>P01</t>
  </si>
  <si>
    <t>Provisão</t>
  </si>
  <si>
    <t>Correções técnicas incorporadas</t>
  </si>
  <si>
    <t>Provisão editável; confirmar após vistoria.</t>
  </si>
  <si>
    <t>Estrutura</t>
  </si>
  <si>
    <t>Torre estaiada galvanizada de 30 m, nova, com cabos</t>
  </si>
  <si>
    <t>• 4 rádios e 4 antenas, pois a repetidora atende dois enlaces independentes e precisa de um conjunto por direção.</t>
  </si>
  <si>
    <t>F12/F13</t>
  </si>
  <si>
    <t>Comprar/cotar</t>
  </si>
  <si>
    <t>Exige projeto estrutural, cargas de vento, galvanização, ART e definição do terreno.</t>
  </si>
  <si>
    <t>Obra civil</t>
  </si>
  <si>
    <t>Fundação completa preliminar 1,5 x 1,5 x 1,5 m</t>
  </si>
  <si>
    <t>unidade</t>
  </si>
  <si>
    <t>• PoE 24 V/1 A e antena GPS já acompanham cada AF-5XHD; foram retirados como compras separadas.</t>
  </si>
  <si>
    <t>P07</t>
  </si>
  <si>
    <t>F14/P02</t>
  </si>
  <si>
    <t>Inclui provisão de escavação, concreto, aço, fôrma e execução. Dimensão deve ser validada por engenheiro e sondagem.</t>
  </si>
  <si>
    <t>SPDA</t>
  </si>
  <si>
    <t>Kit SPDA/aterramento por site, com descida de 30 m e captor Franklin</t>
  </si>
  <si>
    <t>• Os jumpers RF e os suportes principais acompanham a antena/rádio; confirmar com o fornecedor antes da emissão do pedido.</t>
  </si>
  <si>
    <t>TOTAL SERVIÇOS, FRETE E RESERVA</t>
  </si>
  <si>
    <t>• Foram previstos 8 protetores ETH-SP-G2, seguindo a recomendação de dois por rádio.</t>
  </si>
  <si>
    <t>F15</t>
  </si>
  <si>
    <t>Referência comercial de kit; dimensionamento final conforme projeto de SPDA e equipotencialização.</t>
  </si>
  <si>
    <t>Rede repetidora</t>
  </si>
  <si>
    <t>Switch Gigabit gerenciável para interligar os 2 rádios da repetidora</t>
  </si>
  <si>
    <t>• O TOUGHCable/UISP Cable Carrier é Cat5e, não Cat6; foi orçada uma caixa de 305 m para cobrir 150 m de uso e reserva.</t>
  </si>
  <si>
    <t>P03</t>
  </si>
  <si>
    <t>Exclusões e alertas</t>
  </si>
  <si>
    <t>Modelo e alimentação dependem da infraestrutura elétrica/solar do cume.</t>
  </si>
  <si>
    <t>TOTAL DE MATERIAIS</t>
  </si>
  <si>
    <t>• Não inclui sistema de energia da repetidora (rede elétrica, solar, baterias, controlador, abrigo e climatização). Sem energia disponível no cume, esse subsistema pode ser relevante.</t>
  </si>
  <si>
    <t>• Não inclui aquisição/locação de terrenos, licenças, acesso viário, segurança patrimonial, impostos específicos ou mensalidades.</t>
  </si>
  <si>
    <t>• A fundação 1,5 x 1,5 x 1,5 m é apenas premissa acadêmica. Precisa de sondagem, cálculo estrutural, cargas de vento e ART.</t>
  </si>
  <si>
    <t>• Preços online variam com estoque, frete para o RN, ICMS/ST, forma de pagamento e validade da proposta. Obter ao menos três cotações formais.</t>
  </si>
  <si>
    <t>Fontes de preços e premissas</t>
  </si>
  <si>
    <t>Preços consultados em 29/09/2026; hyperlinks clicáveis</t>
  </si>
  <si>
    <t>Código</t>
  </si>
  <si>
    <t>Preço/critério observado</t>
  </si>
  <si>
    <t>Fonte</t>
  </si>
  <si>
    <t>URL</t>
  </si>
  <si>
    <t>Uso no orçamento</t>
  </si>
  <si>
    <t>F01</t>
  </si>
  <si>
    <t>AF-5XHD</t>
  </si>
  <si>
    <t>R$ 3.595,56 à vista</t>
  </si>
  <si>
    <t>NR Store</t>
  </si>
  <si>
    <t>https://www.nrstore.com.br/www-nrstore-com-br/ubiquiti-af-5xhd-airfiber-radio-ip-67-5ghz-1gbps</t>
  </si>
  <si>
    <t>Preço mínimo</t>
  </si>
  <si>
    <t>Anúncio informa PoE incluso.</t>
  </si>
  <si>
    <t>F02</t>
  </si>
  <si>
    <t>R$ 4.749,00 à vista</t>
  </si>
  <si>
    <t>KaBuM</t>
  </si>
  <si>
    <t>https://www.kabum.com.br/produto/356910/radio-ubiquiti-airfiber-5x-hd-5ghz-1gb-200-km-gps-af-5xhd-br-ubiquiti-</t>
  </si>
  <si>
    <t>Referência intermediária.</t>
  </si>
  <si>
    <t>F03</t>
  </si>
  <si>
    <t>R$ 5.759,99</t>
  </si>
  <si>
    <t>Magazine Luiza</t>
  </si>
  <si>
    <t>https://www.magazineluiza.com.br/radio-ubiquiti-airfiber-5ghz-1gbps-gps-branco-af-5xhd/p/aj41cgha9j/ea/rapo/</t>
  </si>
  <si>
    <t>Marketplace; conferir vendedor.</t>
  </si>
  <si>
    <t>F04</t>
  </si>
  <si>
    <t>AF-5G30-S45</t>
  </si>
  <si>
    <t>R$ 1.303,55 à vista</t>
  </si>
  <si>
    <t>Tudo em Ubiquiti</t>
  </si>
  <si>
    <t>https://www.tudoemubiquiti.com.br/t/categoria-tudo-em-ubiquiti/airfiber/antenas</t>
  </si>
  <si>
    <t>Consulta online.</t>
  </si>
  <si>
    <t>F05</t>
  </si>
  <si>
    <t>R$ 1.957,34 a R$ 2.500,00</t>
  </si>
  <si>
    <t>TRT16 / pesquisa de preços</t>
  </si>
  <si>
    <t>https://www.trt16.jus.br/site/conteudo/contas/arq_extrato_inexigibilidade_dispensa.php?idn=38631&amp;atributo=PESQUISA_PRECO</t>
  </si>
  <si>
    <t>Base e alto</t>
  </si>
  <si>
    <t>Pesquisa pública com duas referências.</t>
  </si>
  <si>
    <t>Conteúdo AF-5XHD</t>
  </si>
  <si>
    <t>PoE 24 V/1 A, GPS, suporte e kit IP67 inclusos</t>
  </si>
  <si>
    <t>Ubiquiti</t>
  </si>
  <si>
    <t>https://dl.ui.com/guides/airfiber/airFiber_AF-5XHD_QSG.pdf</t>
  </si>
  <si>
    <t>Evita duplicidade</t>
  </si>
  <si>
    <t>Fabricante determina uso do adaptador incluído POE-24V-5X-HD.</t>
  </si>
  <si>
    <t>UISP Cable Carrier 305 m</t>
  </si>
  <si>
    <t>R$ 2.289,50 à vista; R$ 2.543,89 parcelado</t>
  </si>
  <si>
    <t>Net Computadores</t>
  </si>
  <si>
    <t>https://netcomputadores.com.br/p/uispcablecarrier-ubiquiti-cabo-de-rede/105657</t>
  </si>
  <si>
    <t>Mínimo/base/alto</t>
  </si>
  <si>
    <t>Produto é Cat5e blindado 24 AWG, não Cat6.</t>
  </si>
  <si>
    <t>TC-GND, caixa 20</t>
  </si>
  <si>
    <t>R$ 145,99 a R$ 28,07/unidade</t>
  </si>
  <si>
    <t>Biostech / MyGigaTech</t>
  </si>
  <si>
    <t>https://www.biostechconecta.com.br/ubiquiti-tc-gnd-toughcable-cabo-de-conector-rj45-caixa-com-20-pecas</t>
  </si>
  <si>
    <t>Preço conectores</t>
  </si>
  <si>
    <t>Confirmar estoque e embalagem.</t>
  </si>
  <si>
    <t>Conteúdo AF-5G30-S45</t>
  </si>
  <si>
    <t>Suporte universal, suporte do rádio e jumpers RF inclusos</t>
  </si>
  <si>
    <t>https://dl.ui.com/qsg/AF-5G30-S45/AF-5G30-S45_EN.html</t>
  </si>
  <si>
    <t>Conteúdo oficial da antena.</t>
  </si>
  <si>
    <t>F10</t>
  </si>
  <si>
    <t>ETH-SP-G2</t>
  </si>
  <si>
    <t>R$ 99,00</t>
  </si>
  <si>
    <t>Ubiquiti Brasil</t>
  </si>
  <si>
    <t>https://br.store.ui.com/br/pt/products/ethernet-surge-protector</t>
  </si>
  <si>
    <t>Preço com imposto informado na loja.</t>
  </si>
  <si>
    <t>F11</t>
  </si>
  <si>
    <t>R$ 96,74 a R$ 127,35</t>
  </si>
  <si>
    <t>NR Store / Tudo em Ubiquiti</t>
  </si>
  <si>
    <t>https://www.nrstore.com.br/www-nrstore-com-br/ubiquiti-eth-sp-g2-ethernet-surge-protector-gen-2</t>
  </si>
  <si>
    <t>Faixa de preço</t>
  </si>
  <si>
    <t>A Ubiquiti recomenda dois protetores por enlace outdoor/radio.</t>
  </si>
  <si>
    <t>F12</t>
  </si>
  <si>
    <t>Torre estaiada 30 m</t>
  </si>
  <si>
    <t>R$ 11.000,00 a R$ 15.290,00</t>
  </si>
  <si>
    <t>MF Rural</t>
  </si>
  <si>
    <t>https://www.mfrural.com.br/busca/torre-estaiada/categoria/6-instalacoes</t>
  </si>
  <si>
    <t>Mínimo/base</t>
  </si>
  <si>
    <t>Anúncios de mercado; frete e projeto não incluídos.</t>
  </si>
  <si>
    <t>F13</t>
  </si>
  <si>
    <t>Torre estaiada</t>
  </si>
  <si>
    <t>R$ 902,50 por metro</t>
  </si>
  <si>
    <t>https://www.mfrural.com.br/busca/estaiadas-internet/categoria/6-instalacoes</t>
  </si>
  <si>
    <t>Equivale a R$ 27.075 para 30 m.</t>
  </si>
  <si>
    <t>F14</t>
  </si>
  <si>
    <t>Concretagem de sapata FCK 30 MPa no RN</t>
  </si>
  <si>
    <t>R$ 812,44/m³, jul/2026</t>
  </si>
  <si>
    <t>SINAPI / Buscador</t>
  </si>
  <si>
    <t>https://buscadorsinapi.com.br/rn/composicao/96558-concretagem-de-sapata-fck-30-mpa-com-uso-de-bomba-lancamento</t>
  </si>
  <si>
    <t>Validação parcial</t>
  </si>
  <si>
    <t>Somente concretagem; fundação completa requer aço, fôrma, escavação e projeto.</t>
  </si>
  <si>
    <t>Kit para-raio 30 m</t>
  </si>
  <si>
    <t>R$ 1.019,90</t>
  </si>
  <si>
    <t>https://www.magazineluiza.com.br/busca/haste+de+aterramento+cobre/</t>
  </si>
  <si>
    <t>Referência comercial; não substitui projeto de SPDA.</t>
  </si>
  <si>
    <t>Ferragens complementares</t>
  </si>
  <si>
    <t>R$ 200 a R$ 500/site</t>
  </si>
  <si>
    <t>Premissa editável</t>
  </si>
  <si>
    <t>Confirmar após vistoria.</t>
  </si>
  <si>
    <t>P02</t>
  </si>
  <si>
    <t>Fundação completa</t>
  </si>
  <si>
    <t>R$ 4.500 a R$ 8.000/site</t>
  </si>
  <si>
    <t>Faixa preliminar; não é proposta de empreiteira.</t>
  </si>
  <si>
    <t>Switch da repetidora</t>
  </si>
  <si>
    <t>R$ 700 a R$ 1.500</t>
  </si>
  <si>
    <t>Selecionar conforme energia e gerenciamento.</t>
  </si>
  <si>
    <t>Instalação e alinhamento</t>
  </si>
  <si>
    <t>R$ 4.000 a R$ 9.000/site</t>
  </si>
  <si>
    <t>Exigir NR-10, NR-35, seguro e ART.</t>
  </si>
  <si>
    <t>Projeto/ART/comissionamento</t>
  </si>
  <si>
    <t>R$ 5.000 a R$ 12.000/lote</t>
  </si>
  <si>
    <t>Escopo depende de sondagem e projeto estrutural.</t>
  </si>
  <si>
    <t>Frete/logística</t>
  </si>
  <si>
    <t>5% / 10% / 15% dos materiais</t>
  </si>
  <si>
    <t>Frete de torres pode alterar substancialmente o custo.</t>
  </si>
  <si>
    <t>Contingência</t>
  </si>
  <si>
    <t>8% / 10% / 15%</t>
  </si>
  <si>
    <t>Aplicada após materiais, serviços e frete.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</si>
</sst>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;[Red](#,##0);-"/>
    <numFmt numFmtId="165" formatCode="R$ #,##0.00;[Red](R$ #,##0.00);-"/>
    <numFmt numFmtId="166" formatCode="0.0%"/>
  </numFmts>
  <fonts count="13">
    <font>
      <sz val="11.0"/>
      <color theme="1"/>
      <name val="Calibri"/>
      <scheme val="minor"/>
    </font>
    <font>
      <b/>
      <sz val="18.0"/>
      <color rgb="FF17365D"/>
      <name val="Calibri"/>
    </font>
    <font>
      <sz val="11.0"/>
      <color rgb="FF555555"/>
      <name val="Calibri"/>
    </font>
    <font>
      <b/>
      <sz val="11.0"/>
      <color rgb="FFFFFFFF"/>
      <name val="Calibri"/>
    </font>
    <font>
      <u/>
      <sz val="10.0"/>
      <color rgb="FF0563C1"/>
      <name val="Calibri"/>
    </font>
    <font>
      <sz val="11.0"/>
      <color rgb="FF000000"/>
      <name val="Calibri"/>
    </font>
    <font>
      <sz val="11.0"/>
      <color rgb="FF0000FF"/>
      <name val="Calibri"/>
    </font>
    <font/>
    <font>
      <sz val="11.0"/>
      <color theme="1"/>
      <name val="Calibri"/>
    </font>
    <font>
      <sz val="11.0"/>
      <color rgb="FF008000"/>
      <name val="Calibri"/>
    </font>
    <font>
      <b/>
      <color rgb="FF000000"/>
      <name val="Calibri"/>
    </font>
    <font>
      <b/>
      <color rgb="FFFFFFFF"/>
      <name val="Calibri"/>
    </font>
    <font>
      <u/>
      <sz val="10.0"/>
      <color rgb="FF0563C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4472C4"/>
        <bgColor rgb="FF4472C4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EAF2F8"/>
        <bgColor rgb="FFEAF2F8"/>
      </patternFill>
    </fill>
    <fill>
      <patternFill patternType="solid">
        <fgColor rgb="FFFCE4D6"/>
        <bgColor rgb="FFFCE4D6"/>
      </patternFill>
    </fill>
  </fills>
  <borders count="7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top/>
      <bottom/>
    </border>
    <border>
      <top/>
      <bottom/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wrapText="1"/>
    </xf>
    <xf borderId="0" fillId="0" fontId="4" numFmtId="0" xfId="0" applyFont="1"/>
    <xf borderId="1" fillId="2" fontId="3" numFmtId="0" xfId="0" applyBorder="1" applyFill="1" applyFont="1"/>
    <xf borderId="1" fillId="0" fontId="5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6" numFmtId="164" xfId="0" applyAlignment="1" applyBorder="1" applyFont="1" applyNumberFormat="1">
      <alignment horizontal="right"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5" numFmtId="0" xfId="0" applyAlignment="1" applyBorder="1" applyFont="1">
      <alignment horizontal="right" shrinkToFit="0" vertical="top" wrapText="1"/>
    </xf>
    <xf borderId="1" fillId="0" fontId="6" numFmtId="165" xfId="0" applyAlignment="1" applyBorder="1" applyFont="1" applyNumberFormat="1">
      <alignment shrinkToFit="0" vertical="top" wrapText="1"/>
    </xf>
    <xf borderId="1" fillId="0" fontId="6" numFmtId="165" xfId="0" applyAlignment="1" applyBorder="1" applyFont="1" applyNumberFormat="1">
      <alignment horizontal="right" shrinkToFit="0" vertical="top" wrapText="1"/>
    </xf>
    <xf borderId="2" fillId="2" fontId="3" numFmtId="0" xfId="0" applyBorder="1" applyFill="1" applyFont="1"/>
    <xf borderId="3" fillId="0" fontId="7" numFmtId="0" xfId="0" applyBorder="1" applyFont="1"/>
    <xf borderId="1" fillId="3" fontId="3" numFmtId="0" xfId="0" applyAlignment="1" applyBorder="1" applyFill="1" applyFont="1">
      <alignment horizontal="center"/>
    </xf>
    <xf borderId="1" fillId="0" fontId="5" numFmtId="165" xfId="0" applyAlignment="1" applyBorder="1" applyFont="1" applyNumberFormat="1">
      <alignment horizontal="right" shrinkToFit="0" vertical="top" wrapText="1"/>
    </xf>
    <xf borderId="1" fillId="0" fontId="5" numFmtId="165" xfId="0" applyAlignment="1" applyBorder="1" applyFont="1" applyNumberFormat="1">
      <alignment shrinkToFit="0" vertical="top" wrapText="1"/>
    </xf>
    <xf borderId="1" fillId="0" fontId="8" numFmtId="0" xfId="0" applyAlignment="1" applyBorder="1" applyFont="1">
      <alignment vertical="center"/>
    </xf>
    <xf borderId="1" fillId="0" fontId="9" numFmtId="165" xfId="0" applyAlignment="1" applyBorder="1" applyFont="1" applyNumberFormat="1">
      <alignment vertical="center"/>
    </xf>
    <xf borderId="1" fillId="0" fontId="5" numFmtId="0" xfId="0" applyBorder="1" applyFont="1"/>
    <xf borderId="1" fillId="4" fontId="5" numFmtId="0" xfId="0" applyAlignment="1" applyBorder="1" applyFill="1" applyFont="1">
      <alignment horizontal="left" shrinkToFit="0" vertical="top" wrapText="1"/>
    </xf>
    <xf borderId="1" fillId="0" fontId="6" numFmtId="166" xfId="0" applyAlignment="1" applyBorder="1" applyFont="1" applyNumberFormat="1">
      <alignment shrinkToFit="0" vertical="top" wrapText="1"/>
    </xf>
    <xf borderId="1" fillId="4" fontId="10" numFmtId="0" xfId="0" applyAlignment="1" applyBorder="1" applyFill="1" applyFont="1">
      <alignment vertical="center"/>
    </xf>
    <xf borderId="1" fillId="4" fontId="10" numFmtId="165" xfId="0" applyAlignment="1" applyBorder="1" applyFill="1" applyFont="1" applyNumberFormat="1">
      <alignment vertical="center"/>
    </xf>
    <xf borderId="1" fillId="5" fontId="5" numFmtId="0" xfId="0" applyAlignment="1" applyBorder="1" applyFill="1" applyFont="1">
      <alignment horizontal="left" shrinkToFit="0" vertical="top" wrapText="1"/>
    </xf>
    <xf borderId="4" fillId="6" fontId="8" numFmtId="0" xfId="0" applyAlignment="1" applyBorder="1" applyFill="1" applyFont="1">
      <alignment shrinkToFit="0" vertical="top" wrapText="1"/>
    </xf>
    <xf borderId="5" fillId="0" fontId="7" numFmtId="0" xfId="0" applyBorder="1" applyFont="1"/>
    <xf borderId="6" fillId="0" fontId="7" numFmtId="0" xfId="0" applyBorder="1" applyFont="1"/>
    <xf borderId="1" fillId="3" fontId="11" numFmtId="0" xfId="0" applyBorder="1" applyFill="1" applyFont="1"/>
    <xf borderId="1" fillId="0" fontId="8" numFmtId="0" xfId="0" applyBorder="1" applyFont="1"/>
    <xf borderId="1" fillId="3" fontId="11" numFmtId="165" xfId="0" applyBorder="1" applyFill="1" applyFont="1" applyNumberFormat="1"/>
    <xf borderId="4" fillId="5" fontId="8" numFmtId="0" xfId="0" applyAlignment="1" applyBorder="1" applyFill="1" applyFont="1">
      <alignment shrinkToFit="0" vertical="top" wrapText="1"/>
    </xf>
    <xf borderId="4" fillId="5" fontId="8" numFmtId="0" xfId="0" applyAlignment="1" applyBorder="1" applyFill="1" applyFont="1">
      <alignment readingOrder="0" shrinkToFit="0" vertical="top" wrapText="1"/>
    </xf>
    <xf borderId="4" fillId="7" fontId="8" numFmtId="0" xfId="0" applyAlignment="1" applyBorder="1" applyFill="1" applyFont="1">
      <alignment shrinkToFit="0" vertical="top" wrapText="1"/>
    </xf>
    <xf borderId="1" fillId="0" fontId="12" numFmtId="0" xfId="0" applyAlignment="1" applyBorder="1" applyFont="1">
      <alignment shrinkToFit="0" vertical="top" wrapText="1"/>
    </xf>
    <xf borderId="1" fillId="5" fontId="5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nrstore.com.br/www-nrstore-com-br/ubiquiti-eth-sp-g2-ethernet-surge-protector-gen-2" TargetMode="External"/><Relationship Id="rId10" Type="http://schemas.openxmlformats.org/officeDocument/2006/relationships/hyperlink" Target="https://br.store.ui.com/br/pt/products/ethernet-surge-protector" TargetMode="External"/><Relationship Id="rId13" Type="http://schemas.openxmlformats.org/officeDocument/2006/relationships/hyperlink" Target="https://www.mfrural.com.br/busca/estaiadas-internet/categoria/6-instalacoes" TargetMode="External"/><Relationship Id="rId12" Type="http://schemas.openxmlformats.org/officeDocument/2006/relationships/hyperlink" Target="https://www.mfrural.com.br/busca/torre-estaiada/categoria/6-instalacoes" TargetMode="External"/><Relationship Id="rId1" Type="http://schemas.openxmlformats.org/officeDocument/2006/relationships/hyperlink" Target="https://www.nrstore.com.br/www-nrstore-com-br/ubiquiti-af-5xhd-airfiber-radio-ip-67-5ghz-1gbps" TargetMode="External"/><Relationship Id="rId2" Type="http://schemas.openxmlformats.org/officeDocument/2006/relationships/hyperlink" Target="https://www.kabum.com.br/produto/356910/radio-ubiquiti-airfiber-5x-hd-5ghz-1gb-200-km-gps-af-5xhd-br-ubiquiti-" TargetMode="External"/><Relationship Id="rId3" Type="http://schemas.openxmlformats.org/officeDocument/2006/relationships/hyperlink" Target="https://www.magazineluiza.com.br/radio-ubiquiti-airfiber-5ghz-1gbps-gps-branco-af-5xhd/p/aj41cgha9j/ea/rapo/" TargetMode="External"/><Relationship Id="rId4" Type="http://schemas.openxmlformats.org/officeDocument/2006/relationships/hyperlink" Target="https://www.tudoemubiquiti.com.br/t/categoria-tudo-em-ubiquiti/airfiber/antenas" TargetMode="External"/><Relationship Id="rId9" Type="http://schemas.openxmlformats.org/officeDocument/2006/relationships/hyperlink" Target="https://dl.ui.com/qsg/AF-5G30-S45/AF-5G30-S45_EN.html" TargetMode="External"/><Relationship Id="rId15" Type="http://schemas.openxmlformats.org/officeDocument/2006/relationships/hyperlink" Target="https://www.magazineluiza.com.br/busca/haste+de+aterramento+cobre/" TargetMode="External"/><Relationship Id="rId14" Type="http://schemas.openxmlformats.org/officeDocument/2006/relationships/hyperlink" Target="https://buscadorsinapi.com.br/rn/composicao/96558-concretagem-de-sapata-fck-30-mpa-com-uso-de-bomba-lancamento" TargetMode="External"/><Relationship Id="rId16" Type="http://schemas.openxmlformats.org/officeDocument/2006/relationships/drawing" Target="../drawings/drawing4.xml"/><Relationship Id="rId5" Type="http://schemas.openxmlformats.org/officeDocument/2006/relationships/hyperlink" Target="https://www.trt16.jus.br/site/conteudo/contas/arq_extrato_inexigibilidade_dispensa.php?idn=38631&amp;atributo=PESQUISA_PRECO" TargetMode="External"/><Relationship Id="rId6" Type="http://schemas.openxmlformats.org/officeDocument/2006/relationships/hyperlink" Target="https://dl.ui.com/guides/airfiber/airFiber_AF-5XHD_QSG.pdf" TargetMode="External"/><Relationship Id="rId7" Type="http://schemas.openxmlformats.org/officeDocument/2006/relationships/hyperlink" Target="https://netcomputadores.com.br/p/uispcablecarrier-ubiquiti-cabo-de-rede/105657" TargetMode="External"/><Relationship Id="rId8" Type="http://schemas.openxmlformats.org/officeDocument/2006/relationships/hyperlink" Target="https://www.biostechconecta.com.br/ubiquiti-tc-gnd-toughcable-cabo-de-conector-rj45-caixa-com-20-pec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4.43" defaultRowHeight="15.0"/>
  <cols>
    <col customWidth="1" min="1" max="1" width="3.0"/>
    <col customWidth="1" min="2" max="2" width="32.0"/>
    <col customWidth="1" min="3" max="3" width="18.0"/>
    <col customWidth="1" min="4" max="4" width="22.0"/>
    <col customWidth="1" min="5" max="5" width="18.0"/>
    <col customWidth="1" min="6" max="6" width="15.0"/>
  </cols>
  <sheetData>
    <row r="2">
      <c r="B2" s="1" t="s">
        <v>1</v>
      </c>
    </row>
    <row r="3">
      <c r="B3" s="2" t="s">
        <v>3</v>
      </c>
    </row>
    <row r="5">
      <c r="B5" s="5" t="s">
        <v>8</v>
      </c>
    </row>
    <row r="6">
      <c r="B6" s="5" t="s">
        <v>33</v>
      </c>
    </row>
    <row r="7">
      <c r="B7" s="5" t="s">
        <v>35</v>
      </c>
    </row>
    <row r="9">
      <c r="B9" s="14" t="s">
        <v>36</v>
      </c>
      <c r="C9" s="15"/>
      <c r="D9" s="15"/>
      <c r="E9" s="15"/>
      <c r="F9" s="15"/>
    </row>
    <row r="10">
      <c r="B10" s="16" t="s">
        <v>37</v>
      </c>
      <c r="C10" s="16" t="s">
        <v>38</v>
      </c>
      <c r="D10" s="16" t="s">
        <v>39</v>
      </c>
      <c r="E10" s="16" t="s">
        <v>40</v>
      </c>
    </row>
    <row r="11">
      <c r="B11" s="19" t="s">
        <v>41</v>
      </c>
      <c r="C11" s="20">
        <f>Materiais!K20</f>
        <v>73035.55</v>
      </c>
      <c r="D11" s="20">
        <f>Materiais!L20</f>
        <v>98782.55</v>
      </c>
      <c r="E11" s="20">
        <f>Materiais!M20</f>
        <v>149889.05</v>
      </c>
    </row>
    <row r="12">
      <c r="B12" s="19" t="s">
        <v>73</v>
      </c>
      <c r="C12" s="20">
        <f>Servicos!I10</f>
        <v>28146.7637</v>
      </c>
      <c r="D12" s="20">
        <f>Servicos!J10</f>
        <v>48794.3355</v>
      </c>
      <c r="E12" s="20">
        <f>Servicos!K10</f>
        <v>93189.21863</v>
      </c>
    </row>
    <row r="13">
      <c r="B13" s="24" t="s">
        <v>85</v>
      </c>
      <c r="C13" s="25">
        <f t="shared" ref="C13:E13" si="1">C11+C12</f>
        <v>101182.3137</v>
      </c>
      <c r="D13" s="25">
        <f t="shared" si="1"/>
        <v>147576.8855</v>
      </c>
      <c r="E13" s="25">
        <f t="shared" si="1"/>
        <v>243078.2686</v>
      </c>
    </row>
    <row r="16">
      <c r="B16" s="14" t="s">
        <v>97</v>
      </c>
      <c r="C16" s="15"/>
      <c r="D16" s="15"/>
      <c r="E16" s="15"/>
      <c r="F16" s="15"/>
    </row>
    <row r="17" ht="33.75" customHeight="1">
      <c r="B17" s="27" t="s">
        <v>101</v>
      </c>
      <c r="C17" s="28"/>
      <c r="D17" s="28"/>
      <c r="E17" s="28"/>
      <c r="F17" s="29"/>
    </row>
    <row r="18" ht="33.75" customHeight="1">
      <c r="B18" s="27" t="s">
        <v>108</v>
      </c>
      <c r="C18" s="28"/>
      <c r="D18" s="28"/>
      <c r="E18" s="28"/>
      <c r="F18" s="29"/>
    </row>
    <row r="19" ht="33.75" customHeight="1">
      <c r="B19" s="27" t="s">
        <v>114</v>
      </c>
      <c r="C19" s="28"/>
      <c r="D19" s="28"/>
      <c r="E19" s="28"/>
      <c r="F19" s="29"/>
    </row>
    <row r="20" ht="33.75" customHeight="1">
      <c r="B20" s="27" t="s">
        <v>116</v>
      </c>
      <c r="C20" s="28"/>
      <c r="D20" s="28"/>
      <c r="E20" s="28"/>
      <c r="F20" s="29"/>
    </row>
    <row r="21" ht="33.75" customHeight="1">
      <c r="B21" s="27" t="s">
        <v>121</v>
      </c>
      <c r="C21" s="28"/>
      <c r="D21" s="28"/>
      <c r="E21" s="28"/>
      <c r="F21" s="29"/>
    </row>
    <row r="22" ht="15.75" customHeight="1"/>
    <row r="23" ht="15.75" customHeight="1"/>
    <row r="24" ht="15.75" customHeight="1">
      <c r="B24" s="14" t="s">
        <v>123</v>
      </c>
      <c r="C24" s="15"/>
      <c r="D24" s="15"/>
      <c r="E24" s="15"/>
      <c r="F24" s="15"/>
    </row>
    <row r="25" ht="37.5" customHeight="1">
      <c r="B25" s="33" t="s">
        <v>126</v>
      </c>
      <c r="C25" s="28"/>
      <c r="D25" s="28"/>
      <c r="E25" s="28"/>
      <c r="F25" s="29"/>
    </row>
    <row r="26" ht="37.5" customHeight="1">
      <c r="B26" s="33" t="s">
        <v>127</v>
      </c>
      <c r="C26" s="28"/>
      <c r="D26" s="28"/>
      <c r="E26" s="28"/>
      <c r="F26" s="29"/>
    </row>
    <row r="27" ht="37.5" customHeight="1">
      <c r="B27" s="34" t="s">
        <v>128</v>
      </c>
      <c r="C27" s="28"/>
      <c r="D27" s="28"/>
      <c r="E27" s="28"/>
      <c r="F27" s="29"/>
    </row>
    <row r="28" ht="37.5" customHeight="1">
      <c r="B28" s="35" t="s">
        <v>129</v>
      </c>
      <c r="C28" s="28"/>
      <c r="D28" s="28"/>
      <c r="E28" s="28"/>
      <c r="F28" s="29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20:F20"/>
    <mergeCell ref="B21:F21"/>
    <mergeCell ref="B24:F24"/>
    <mergeCell ref="B25:F25"/>
    <mergeCell ref="B26:F26"/>
    <mergeCell ref="B27:F27"/>
    <mergeCell ref="B28:F28"/>
    <mergeCell ref="B2:F2"/>
    <mergeCell ref="B3:F3"/>
    <mergeCell ref="B9:F9"/>
    <mergeCell ref="B16:F16"/>
    <mergeCell ref="B17:F17"/>
    <mergeCell ref="B18:F18"/>
    <mergeCell ref="B19:F19"/>
  </mergeCells>
  <hyperlinks>
    <hyperlink display="#gid=1142211786&amp;range=B2" location="Materiais!B2" ref="B5"/>
    <hyperlink display="#gid=1978796414&amp;range=B2" location="Servicos!B2" ref="B6"/>
    <hyperlink display="#gid=1184084880&amp;range=B2" location="'Fontes e Premissas'!B2" ref="B7"/>
  </hyperlinks>
  <printOptions/>
  <pageMargins bottom="0.5" footer="0.0" header="0.0" left="0.25" right="0.25" top="0.5"/>
  <pageSetup fitToHeight="0" orientation="landscape"/>
  <headerFooter>
    <oddFooter>&amp;CUFERSA — Projeto de Rádio Enlace | João Pedro Fernandes de Aquino&amp;RPágina &amp;P de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.0"/>
    <col customWidth="1" min="2" max="2" width="18.0"/>
    <col customWidth="1" min="3" max="3" width="48.0"/>
    <col customWidth="1" min="4" max="4" width="14.0"/>
    <col customWidth="1" min="5" max="5" width="13.0"/>
    <col customWidth="1" min="6" max="6" width="12.0"/>
    <col customWidth="1" min="7" max="7" width="14.0"/>
    <col customWidth="1" min="8" max="10" width="15.0"/>
    <col customWidth="1" min="11" max="14" width="16.0"/>
    <col customWidth="1" min="15" max="15" width="15.0"/>
    <col customWidth="1" min="16" max="16" width="56.0"/>
  </cols>
  <sheetData>
    <row r="2">
      <c r="B2" s="1" t="s">
        <v>0</v>
      </c>
    </row>
    <row r="3">
      <c r="B3" s="2" t="s">
        <v>4</v>
      </c>
    </row>
    <row r="5" ht="37.5" customHeight="1">
      <c r="B5" s="3" t="s">
        <v>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  <c r="I5" s="3" t="s">
        <v>15</v>
      </c>
      <c r="J5" s="3" t="s">
        <v>17</v>
      </c>
      <c r="K5" s="3" t="s">
        <v>19</v>
      </c>
      <c r="L5" s="3" t="s">
        <v>23</v>
      </c>
      <c r="M5" s="3" t="s">
        <v>24</v>
      </c>
      <c r="N5" s="3" t="s">
        <v>25</v>
      </c>
      <c r="O5" s="3" t="s">
        <v>26</v>
      </c>
      <c r="P5" s="3" t="s">
        <v>27</v>
      </c>
    </row>
    <row r="6" ht="54.0" customHeight="1">
      <c r="B6" s="7" t="s">
        <v>28</v>
      </c>
      <c r="C6" s="7" t="s">
        <v>29</v>
      </c>
      <c r="D6" s="9">
        <v>3.0</v>
      </c>
      <c r="E6" s="9">
        <v>4.0</v>
      </c>
      <c r="F6" s="9">
        <v>4.0</v>
      </c>
      <c r="G6" s="11" t="s">
        <v>32</v>
      </c>
      <c r="H6" s="13">
        <v>3595.56</v>
      </c>
      <c r="I6" s="13">
        <v>4749.0</v>
      </c>
      <c r="J6" s="13">
        <v>5759.99</v>
      </c>
      <c r="K6" s="17">
        <f t="shared" ref="K6:K19" si="1">F6*H6</f>
        <v>14382.24</v>
      </c>
      <c r="L6" s="17">
        <f t="shared" ref="L6:L19" si="2">F6*I6</f>
        <v>18996</v>
      </c>
      <c r="M6" s="17">
        <f t="shared" ref="M6:M19" si="3">F6*J6</f>
        <v>23039.96</v>
      </c>
      <c r="N6" s="7" t="s">
        <v>42</v>
      </c>
      <c r="O6" s="7" t="s">
        <v>43</v>
      </c>
      <c r="P6" s="7" t="s">
        <v>44</v>
      </c>
    </row>
    <row r="7" ht="54.0" customHeight="1">
      <c r="B7" s="7" t="s">
        <v>45</v>
      </c>
      <c r="C7" s="7" t="s">
        <v>46</v>
      </c>
      <c r="D7" s="9">
        <v>3.0</v>
      </c>
      <c r="E7" s="9">
        <v>4.0</v>
      </c>
      <c r="F7" s="9">
        <v>4.0</v>
      </c>
      <c r="G7" s="11" t="s">
        <v>32</v>
      </c>
      <c r="H7" s="13">
        <v>1303.55</v>
      </c>
      <c r="I7" s="13">
        <v>1957.34</v>
      </c>
      <c r="J7" s="13">
        <v>2500.0</v>
      </c>
      <c r="K7" s="17">
        <f t="shared" si="1"/>
        <v>5214.2</v>
      </c>
      <c r="L7" s="17">
        <f t="shared" si="2"/>
        <v>7829.36</v>
      </c>
      <c r="M7" s="17">
        <f t="shared" si="3"/>
        <v>10000</v>
      </c>
      <c r="N7" s="7" t="s">
        <v>49</v>
      </c>
      <c r="O7" s="7" t="s">
        <v>43</v>
      </c>
      <c r="P7" s="7" t="s">
        <v>51</v>
      </c>
    </row>
    <row r="8" ht="54.0" customHeight="1">
      <c r="B8" s="7" t="s">
        <v>53</v>
      </c>
      <c r="C8" s="7" t="s">
        <v>54</v>
      </c>
      <c r="D8" s="9">
        <v>3.0</v>
      </c>
      <c r="E8" s="9">
        <v>4.0</v>
      </c>
      <c r="F8" s="9">
        <v>0.0</v>
      </c>
      <c r="G8" s="11" t="s">
        <v>32</v>
      </c>
      <c r="H8" s="13">
        <v>0.0</v>
      </c>
      <c r="I8" s="13">
        <v>0.0</v>
      </c>
      <c r="J8" s="13">
        <v>0.0</v>
      </c>
      <c r="K8" s="17">
        <f t="shared" si="1"/>
        <v>0</v>
      </c>
      <c r="L8" s="17">
        <f t="shared" si="2"/>
        <v>0</v>
      </c>
      <c r="M8" s="17">
        <f t="shared" si="3"/>
        <v>0</v>
      </c>
      <c r="N8" s="7" t="s">
        <v>55</v>
      </c>
      <c r="O8" s="22" t="s">
        <v>56</v>
      </c>
      <c r="P8" s="7" t="s">
        <v>61</v>
      </c>
    </row>
    <row r="9" ht="54.0" customHeight="1">
      <c r="B9" s="7" t="s">
        <v>62</v>
      </c>
      <c r="C9" s="7" t="s">
        <v>63</v>
      </c>
      <c r="D9" s="9">
        <v>1.0</v>
      </c>
      <c r="E9" s="9">
        <v>4.0</v>
      </c>
      <c r="F9" s="9">
        <v>0.0</v>
      </c>
      <c r="G9" s="11" t="s">
        <v>32</v>
      </c>
      <c r="H9" s="13">
        <v>0.0</v>
      </c>
      <c r="I9" s="13">
        <v>0.0</v>
      </c>
      <c r="J9" s="13">
        <v>0.0</v>
      </c>
      <c r="K9" s="17">
        <f t="shared" si="1"/>
        <v>0</v>
      </c>
      <c r="L9" s="17">
        <f t="shared" si="2"/>
        <v>0</v>
      </c>
      <c r="M9" s="17">
        <f t="shared" si="3"/>
        <v>0</v>
      </c>
      <c r="N9" s="7" t="s">
        <v>55</v>
      </c>
      <c r="O9" s="22" t="s">
        <v>56</v>
      </c>
      <c r="P9" s="7" t="s">
        <v>64</v>
      </c>
    </row>
    <row r="10" ht="54.0" customHeight="1">
      <c r="B10" s="7" t="s">
        <v>65</v>
      </c>
      <c r="C10" s="7" t="s">
        <v>66</v>
      </c>
      <c r="D10" s="9">
        <v>110.0</v>
      </c>
      <c r="E10" s="9">
        <v>150.0</v>
      </c>
      <c r="F10" s="9">
        <v>1.0</v>
      </c>
      <c r="G10" s="11" t="s">
        <v>67</v>
      </c>
      <c r="H10" s="13">
        <v>2289.5</v>
      </c>
      <c r="I10" s="13">
        <v>2289.5</v>
      </c>
      <c r="J10" s="13">
        <v>2543.89</v>
      </c>
      <c r="K10" s="17">
        <f t="shared" si="1"/>
        <v>2289.5</v>
      </c>
      <c r="L10" s="17">
        <f t="shared" si="2"/>
        <v>2289.5</v>
      </c>
      <c r="M10" s="17">
        <f t="shared" si="3"/>
        <v>2543.89</v>
      </c>
      <c r="N10" s="7" t="s">
        <v>68</v>
      </c>
      <c r="O10" s="7" t="s">
        <v>43</v>
      </c>
      <c r="P10" s="7" t="s">
        <v>69</v>
      </c>
    </row>
    <row r="11" ht="54.0" customHeight="1">
      <c r="B11" s="7" t="s">
        <v>70</v>
      </c>
      <c r="C11" s="7" t="s">
        <v>71</v>
      </c>
      <c r="D11" s="9">
        <v>6.0</v>
      </c>
      <c r="E11" s="9">
        <v>8.0</v>
      </c>
      <c r="F11" s="9">
        <v>1.0</v>
      </c>
      <c r="G11" s="11" t="s">
        <v>72</v>
      </c>
      <c r="H11" s="13">
        <v>145.99</v>
      </c>
      <c r="I11" s="13">
        <v>145.99</v>
      </c>
      <c r="J11" s="13">
        <v>561.4</v>
      </c>
      <c r="K11" s="17">
        <f t="shared" si="1"/>
        <v>145.99</v>
      </c>
      <c r="L11" s="17">
        <f t="shared" si="2"/>
        <v>145.99</v>
      </c>
      <c r="M11" s="17">
        <f t="shared" si="3"/>
        <v>561.4</v>
      </c>
      <c r="N11" s="7" t="s">
        <v>74</v>
      </c>
      <c r="O11" s="7" t="s">
        <v>43</v>
      </c>
      <c r="P11" s="7" t="s">
        <v>76</v>
      </c>
    </row>
    <row r="12" ht="54.0" customHeight="1">
      <c r="B12" s="7" t="s">
        <v>77</v>
      </c>
      <c r="C12" s="7" t="s">
        <v>79</v>
      </c>
      <c r="D12" s="9">
        <v>6.0</v>
      </c>
      <c r="E12" s="9">
        <v>8.0</v>
      </c>
      <c r="F12" s="9">
        <v>0.0</v>
      </c>
      <c r="G12" s="11" t="s">
        <v>32</v>
      </c>
      <c r="H12" s="13">
        <v>0.0</v>
      </c>
      <c r="I12" s="13">
        <v>0.0</v>
      </c>
      <c r="J12" s="13">
        <v>0.0</v>
      </c>
      <c r="K12" s="17">
        <f t="shared" si="1"/>
        <v>0</v>
      </c>
      <c r="L12" s="17">
        <f t="shared" si="2"/>
        <v>0</v>
      </c>
      <c r="M12" s="17">
        <f t="shared" si="3"/>
        <v>0</v>
      </c>
      <c r="N12" s="7" t="s">
        <v>81</v>
      </c>
      <c r="O12" s="22" t="s">
        <v>56</v>
      </c>
      <c r="P12" s="7" t="s">
        <v>82</v>
      </c>
    </row>
    <row r="13" ht="54.0" customHeight="1">
      <c r="B13" s="7" t="s">
        <v>83</v>
      </c>
      <c r="C13" s="7" t="s">
        <v>84</v>
      </c>
      <c r="D13" s="9">
        <v>3.0</v>
      </c>
      <c r="E13" s="9">
        <v>8.0</v>
      </c>
      <c r="F13" s="9">
        <v>8.0</v>
      </c>
      <c r="G13" s="11" t="s">
        <v>32</v>
      </c>
      <c r="H13" s="13">
        <v>96.74</v>
      </c>
      <c r="I13" s="13">
        <v>99.0</v>
      </c>
      <c r="J13" s="13">
        <v>127.35</v>
      </c>
      <c r="K13" s="17">
        <f t="shared" si="1"/>
        <v>773.92</v>
      </c>
      <c r="L13" s="17">
        <f t="shared" si="2"/>
        <v>792</v>
      </c>
      <c r="M13" s="17">
        <f t="shared" si="3"/>
        <v>1018.8</v>
      </c>
      <c r="N13" s="7" t="s">
        <v>86</v>
      </c>
      <c r="O13" s="7" t="s">
        <v>43</v>
      </c>
      <c r="P13" s="7" t="s">
        <v>87</v>
      </c>
    </row>
    <row r="14" ht="54.0" customHeight="1">
      <c r="B14" s="7" t="s">
        <v>88</v>
      </c>
      <c r="C14" s="7" t="s">
        <v>89</v>
      </c>
      <c r="D14" s="9">
        <v>3.0</v>
      </c>
      <c r="E14" s="9">
        <v>4.0</v>
      </c>
      <c r="F14" s="9">
        <v>0.0</v>
      </c>
      <c r="G14" s="11" t="s">
        <v>90</v>
      </c>
      <c r="H14" s="13">
        <v>0.0</v>
      </c>
      <c r="I14" s="13">
        <v>0.0</v>
      </c>
      <c r="J14" s="13">
        <v>0.0</v>
      </c>
      <c r="K14" s="17">
        <f t="shared" si="1"/>
        <v>0</v>
      </c>
      <c r="L14" s="17">
        <f t="shared" si="2"/>
        <v>0</v>
      </c>
      <c r="M14" s="17">
        <f t="shared" si="3"/>
        <v>0</v>
      </c>
      <c r="N14" s="7" t="s">
        <v>91</v>
      </c>
      <c r="O14" s="22" t="s">
        <v>56</v>
      </c>
      <c r="P14" s="7" t="s">
        <v>92</v>
      </c>
    </row>
    <row r="15" ht="54.0" customHeight="1">
      <c r="B15" s="7" t="s">
        <v>88</v>
      </c>
      <c r="C15" s="7" t="s">
        <v>93</v>
      </c>
      <c r="D15" s="9">
        <v>0.0</v>
      </c>
      <c r="E15" s="9">
        <v>3.0</v>
      </c>
      <c r="F15" s="9">
        <v>3.0</v>
      </c>
      <c r="G15" s="11" t="s">
        <v>94</v>
      </c>
      <c r="H15" s="13">
        <v>200.0</v>
      </c>
      <c r="I15" s="13">
        <v>300.0</v>
      </c>
      <c r="J15" s="13">
        <v>500.0</v>
      </c>
      <c r="K15" s="17">
        <f t="shared" si="1"/>
        <v>600</v>
      </c>
      <c r="L15" s="17">
        <f t="shared" si="2"/>
        <v>900</v>
      </c>
      <c r="M15" s="17">
        <f t="shared" si="3"/>
        <v>1500</v>
      </c>
      <c r="N15" s="7" t="s">
        <v>95</v>
      </c>
      <c r="O15" s="26" t="s">
        <v>96</v>
      </c>
      <c r="P15" s="7" t="s">
        <v>98</v>
      </c>
    </row>
    <row r="16" ht="54.0" customHeight="1">
      <c r="B16" s="7" t="s">
        <v>99</v>
      </c>
      <c r="C16" s="7" t="s">
        <v>100</v>
      </c>
      <c r="D16" s="9">
        <v>3.0</v>
      </c>
      <c r="E16" s="9">
        <v>3.0</v>
      </c>
      <c r="F16" s="9">
        <v>3.0</v>
      </c>
      <c r="G16" s="11" t="s">
        <v>32</v>
      </c>
      <c r="H16" s="13">
        <v>11000.0</v>
      </c>
      <c r="I16" s="13">
        <v>15290.0</v>
      </c>
      <c r="J16" s="13">
        <v>27075.0</v>
      </c>
      <c r="K16" s="17">
        <f t="shared" si="1"/>
        <v>33000</v>
      </c>
      <c r="L16" s="17">
        <f t="shared" si="2"/>
        <v>45870</v>
      </c>
      <c r="M16" s="17">
        <f t="shared" si="3"/>
        <v>81225</v>
      </c>
      <c r="N16" s="7" t="s">
        <v>102</v>
      </c>
      <c r="O16" s="7" t="s">
        <v>103</v>
      </c>
      <c r="P16" s="7" t="s">
        <v>104</v>
      </c>
    </row>
    <row r="17" ht="54.0" customHeight="1">
      <c r="B17" s="7" t="s">
        <v>105</v>
      </c>
      <c r="C17" s="7" t="s">
        <v>106</v>
      </c>
      <c r="D17" s="9">
        <v>3.0</v>
      </c>
      <c r="E17" s="9">
        <v>3.0</v>
      </c>
      <c r="F17" s="9">
        <v>3.0</v>
      </c>
      <c r="G17" s="11" t="s">
        <v>107</v>
      </c>
      <c r="H17" s="13">
        <v>4500.0</v>
      </c>
      <c r="I17" s="13">
        <v>6000.0</v>
      </c>
      <c r="J17" s="13">
        <v>8000.0</v>
      </c>
      <c r="K17" s="17">
        <f t="shared" si="1"/>
        <v>13500</v>
      </c>
      <c r="L17" s="17">
        <f t="shared" si="2"/>
        <v>18000</v>
      </c>
      <c r="M17" s="17">
        <f t="shared" si="3"/>
        <v>24000</v>
      </c>
      <c r="N17" s="7" t="s">
        <v>110</v>
      </c>
      <c r="O17" s="26" t="s">
        <v>96</v>
      </c>
      <c r="P17" s="7" t="s">
        <v>111</v>
      </c>
    </row>
    <row r="18" ht="54.0" customHeight="1">
      <c r="B18" s="7" t="s">
        <v>112</v>
      </c>
      <c r="C18" s="7" t="s">
        <v>113</v>
      </c>
      <c r="D18" s="9">
        <v>3.0</v>
      </c>
      <c r="E18" s="9">
        <v>3.0</v>
      </c>
      <c r="F18" s="9">
        <v>3.0</v>
      </c>
      <c r="G18" s="11" t="s">
        <v>94</v>
      </c>
      <c r="H18" s="13">
        <v>809.9</v>
      </c>
      <c r="I18" s="13">
        <v>1019.9</v>
      </c>
      <c r="J18" s="13">
        <v>1500.0</v>
      </c>
      <c r="K18" s="17">
        <f t="shared" si="1"/>
        <v>2429.7</v>
      </c>
      <c r="L18" s="17">
        <f t="shared" si="2"/>
        <v>3059.7</v>
      </c>
      <c r="M18" s="17">
        <f t="shared" si="3"/>
        <v>4500</v>
      </c>
      <c r="N18" s="7" t="s">
        <v>117</v>
      </c>
      <c r="O18" s="7" t="s">
        <v>103</v>
      </c>
      <c r="P18" s="7" t="s">
        <v>118</v>
      </c>
    </row>
    <row r="19" ht="54.0" customHeight="1">
      <c r="B19" s="7" t="s">
        <v>119</v>
      </c>
      <c r="C19" s="7" t="s">
        <v>120</v>
      </c>
      <c r="D19" s="9">
        <v>0.0</v>
      </c>
      <c r="E19" s="9">
        <v>1.0</v>
      </c>
      <c r="F19" s="9">
        <v>1.0</v>
      </c>
      <c r="G19" s="11" t="s">
        <v>32</v>
      </c>
      <c r="H19" s="13">
        <v>700.0</v>
      </c>
      <c r="I19" s="13">
        <v>900.0</v>
      </c>
      <c r="J19" s="13">
        <v>1500.0</v>
      </c>
      <c r="K19" s="17">
        <f t="shared" si="1"/>
        <v>700</v>
      </c>
      <c r="L19" s="17">
        <f t="shared" si="2"/>
        <v>900</v>
      </c>
      <c r="M19" s="17">
        <f t="shared" si="3"/>
        <v>1500</v>
      </c>
      <c r="N19" s="7" t="s">
        <v>122</v>
      </c>
      <c r="O19" s="26" t="s">
        <v>96</v>
      </c>
      <c r="P19" s="7" t="s">
        <v>124</v>
      </c>
    </row>
    <row r="20">
      <c r="B20" s="30" t="s">
        <v>125</v>
      </c>
      <c r="C20" s="31"/>
      <c r="D20" s="31"/>
      <c r="E20" s="31"/>
      <c r="F20" s="31"/>
      <c r="G20" s="31"/>
      <c r="H20" s="31"/>
      <c r="I20" s="31"/>
      <c r="J20" s="31"/>
      <c r="K20" s="32">
        <f t="shared" ref="K20:M20" si="4">SUM(K6:K19)</f>
        <v>73035.55</v>
      </c>
      <c r="L20" s="32">
        <f t="shared" si="4"/>
        <v>98782.55</v>
      </c>
      <c r="M20" s="32">
        <f t="shared" si="4"/>
        <v>149889.05</v>
      </c>
      <c r="N20" s="31"/>
      <c r="O20" s="31"/>
      <c r="P20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5:$P$19"/>
  <mergeCells count="2">
    <mergeCell ref="B2:M2"/>
    <mergeCell ref="B3:M3"/>
  </mergeCells>
  <printOptions/>
  <pageMargins bottom="0.5" footer="0.0" header="0.0" left="0.25" right="0.25" top="0.5"/>
  <pageSetup fitToHeight="0" orientation="landscape"/>
  <headerFooter>
    <oddFooter>&amp;CUFERSA — Projeto de Rádio Enlace | João Pedro Fernandes de Aquino&amp;RPágina &amp;P de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.0"/>
    <col customWidth="1" min="2" max="2" width="40.0"/>
    <col customWidth="1" min="3" max="3" width="55.0"/>
    <col customWidth="1" min="4" max="4" width="10.0"/>
    <col customWidth="1" min="5" max="5" width="14.0"/>
    <col customWidth="1" min="6" max="8" width="16.0"/>
    <col customWidth="1" min="9" max="11" width="17.0"/>
    <col customWidth="1" min="12" max="12" width="16.0"/>
  </cols>
  <sheetData>
    <row r="2">
      <c r="B2" s="1" t="s">
        <v>2</v>
      </c>
    </row>
    <row r="3">
      <c r="B3" s="2" t="s">
        <v>5</v>
      </c>
    </row>
    <row r="5">
      <c r="B5" s="4" t="s">
        <v>7</v>
      </c>
      <c r="C5" s="4" t="s">
        <v>16</v>
      </c>
      <c r="D5" s="4" t="s">
        <v>18</v>
      </c>
      <c r="E5" s="4" t="s">
        <v>13</v>
      </c>
      <c r="F5" s="4" t="s">
        <v>20</v>
      </c>
      <c r="G5" s="4" t="s">
        <v>21</v>
      </c>
      <c r="H5" s="4" t="s">
        <v>22</v>
      </c>
      <c r="I5" s="4" t="s">
        <v>19</v>
      </c>
      <c r="J5" s="4" t="s">
        <v>23</v>
      </c>
      <c r="K5" s="4" t="s">
        <v>24</v>
      </c>
      <c r="L5" s="6" t="s">
        <v>25</v>
      </c>
    </row>
    <row r="6" ht="48.0" customHeight="1">
      <c r="B6" s="8" t="s">
        <v>30</v>
      </c>
      <c r="C6" s="8" t="s">
        <v>31</v>
      </c>
      <c r="D6" s="10">
        <v>3.0</v>
      </c>
      <c r="E6" s="8" t="s">
        <v>34</v>
      </c>
      <c r="F6" s="12">
        <v>4000.0</v>
      </c>
      <c r="G6" s="12">
        <v>6000.0</v>
      </c>
      <c r="H6" s="12">
        <v>9000.0</v>
      </c>
      <c r="I6" s="18">
        <f t="shared" ref="I6:I7" si="1">D6*F6</f>
        <v>12000</v>
      </c>
      <c r="J6" s="18">
        <f t="shared" ref="J6:J7" si="2">D6*G6</f>
        <v>18000</v>
      </c>
      <c r="K6" s="18">
        <f t="shared" ref="K6:K7" si="3">D6*H6</f>
        <v>27000</v>
      </c>
      <c r="L6" s="21" t="s">
        <v>47</v>
      </c>
    </row>
    <row r="7" ht="48.0" customHeight="1">
      <c r="B7" s="8" t="s">
        <v>48</v>
      </c>
      <c r="C7" s="8" t="s">
        <v>50</v>
      </c>
      <c r="D7" s="10">
        <v>1.0</v>
      </c>
      <c r="E7" s="8" t="s">
        <v>52</v>
      </c>
      <c r="F7" s="12">
        <v>5000.0</v>
      </c>
      <c r="G7" s="12">
        <v>7500.0</v>
      </c>
      <c r="H7" s="12">
        <v>12000.0</v>
      </c>
      <c r="I7" s="18">
        <f t="shared" si="1"/>
        <v>5000</v>
      </c>
      <c r="J7" s="18">
        <f t="shared" si="2"/>
        <v>7500</v>
      </c>
      <c r="K7" s="18">
        <f t="shared" si="3"/>
        <v>12000</v>
      </c>
      <c r="L7" s="21" t="s">
        <v>57</v>
      </c>
    </row>
    <row r="8" ht="48.0" customHeight="1">
      <c r="B8" s="8" t="s">
        <v>58</v>
      </c>
      <c r="C8" s="8" t="s">
        <v>59</v>
      </c>
      <c r="D8" s="10">
        <v>1.0</v>
      </c>
      <c r="E8" s="8" t="s">
        <v>60</v>
      </c>
      <c r="F8" s="23">
        <v>0.05</v>
      </c>
      <c r="G8" s="23">
        <v>0.1</v>
      </c>
      <c r="H8" s="23">
        <v>0.15</v>
      </c>
      <c r="I8" s="18">
        <f>Materiais!K20*F8</f>
        <v>3651.7775</v>
      </c>
      <c r="J8" s="18">
        <f>Materiais!L20*G8</f>
        <v>9878.255</v>
      </c>
      <c r="K8" s="18">
        <f>Materiais!M20*H8</f>
        <v>22483.3575</v>
      </c>
      <c r="L8" s="21" t="s">
        <v>75</v>
      </c>
    </row>
    <row r="9" ht="48.0" customHeight="1">
      <c r="B9" s="8" t="s">
        <v>78</v>
      </c>
      <c r="C9" s="8" t="s">
        <v>80</v>
      </c>
      <c r="D9" s="10">
        <v>1.0</v>
      </c>
      <c r="E9" s="8" t="s">
        <v>60</v>
      </c>
      <c r="F9" s="23">
        <v>0.08</v>
      </c>
      <c r="G9" s="23">
        <v>0.1</v>
      </c>
      <c r="H9" s="23">
        <v>0.15</v>
      </c>
      <c r="I9" s="18">
        <f>(Materiais!K20+SUM(I6:I8))*F9</f>
        <v>7494.9862</v>
      </c>
      <c r="J9" s="18">
        <f>(Materiais!L20+SUM(J6:J8))*G9</f>
        <v>13416.0805</v>
      </c>
      <c r="K9" s="18">
        <f>(Materiais!M20+SUM(K6:K8))*H9</f>
        <v>31705.86113</v>
      </c>
      <c r="L9" s="21" t="s">
        <v>109</v>
      </c>
    </row>
    <row r="10">
      <c r="B10" s="30" t="s">
        <v>115</v>
      </c>
      <c r="C10" s="31"/>
      <c r="D10" s="31"/>
      <c r="E10" s="31"/>
      <c r="F10" s="31"/>
      <c r="G10" s="31"/>
      <c r="H10" s="31"/>
      <c r="I10" s="32">
        <f t="shared" ref="I10:K10" si="4">SUM(I6:I9)</f>
        <v>28146.7637</v>
      </c>
      <c r="J10" s="32">
        <f t="shared" si="4"/>
        <v>48794.3355</v>
      </c>
      <c r="K10" s="32">
        <f t="shared" si="4"/>
        <v>93189.21863</v>
      </c>
      <c r="L10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J2"/>
    <mergeCell ref="B3:J3"/>
  </mergeCells>
  <printOptions/>
  <pageMargins bottom="0.5" footer="0.0" header="0.0" left="0.25" right="0.25" top="0.5"/>
  <pageSetup fitToHeight="0" orientation="landscape"/>
  <headerFooter>
    <oddFooter>&amp;CUFERSA — Projeto de Rádio Enlace | João Pedro Fernandes de Aquino&amp;RPágina &amp;P de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3.0"/>
    <col customWidth="1" min="2" max="2" width="12.0"/>
    <col customWidth="1" min="3" max="3" width="30.0"/>
    <col customWidth="1" min="4" max="4" width="28.0"/>
    <col customWidth="1" min="5" max="5" width="24.0"/>
    <col customWidth="1" min="6" max="6" width="52.0"/>
    <col customWidth="1" min="7" max="7" width="20.0"/>
    <col customWidth="1" min="8" max="8" width="50.0"/>
  </cols>
  <sheetData>
    <row r="2">
      <c r="B2" s="1" t="s">
        <v>130</v>
      </c>
    </row>
    <row r="3">
      <c r="B3" s="2" t="s">
        <v>131</v>
      </c>
    </row>
    <row r="5">
      <c r="B5" s="4" t="s">
        <v>132</v>
      </c>
      <c r="C5" s="4" t="s">
        <v>7</v>
      </c>
      <c r="D5" s="4" t="s">
        <v>133</v>
      </c>
      <c r="E5" s="4" t="s">
        <v>134</v>
      </c>
      <c r="F5" s="4" t="s">
        <v>135</v>
      </c>
      <c r="G5" s="4" t="s">
        <v>136</v>
      </c>
      <c r="H5" s="4" t="s">
        <v>27</v>
      </c>
    </row>
    <row r="6" ht="45.0" customHeight="1">
      <c r="B6" s="8" t="s">
        <v>137</v>
      </c>
      <c r="C6" s="8" t="s">
        <v>138</v>
      </c>
      <c r="D6" s="8" t="s">
        <v>139</v>
      </c>
      <c r="E6" s="8" t="s">
        <v>140</v>
      </c>
      <c r="F6" s="36" t="s">
        <v>141</v>
      </c>
      <c r="G6" s="8" t="s">
        <v>142</v>
      </c>
      <c r="H6" s="8" t="s">
        <v>143</v>
      </c>
    </row>
    <row r="7" ht="45.0" customHeight="1">
      <c r="B7" s="8" t="s">
        <v>144</v>
      </c>
      <c r="C7" s="8" t="s">
        <v>138</v>
      </c>
      <c r="D7" s="8" t="s">
        <v>145</v>
      </c>
      <c r="E7" s="8" t="s">
        <v>146</v>
      </c>
      <c r="F7" s="36" t="s">
        <v>147</v>
      </c>
      <c r="G7" s="8" t="s">
        <v>15</v>
      </c>
      <c r="H7" s="8" t="s">
        <v>148</v>
      </c>
    </row>
    <row r="8" ht="45.0" customHeight="1">
      <c r="B8" s="8" t="s">
        <v>149</v>
      </c>
      <c r="C8" s="8" t="s">
        <v>138</v>
      </c>
      <c r="D8" s="8" t="s">
        <v>150</v>
      </c>
      <c r="E8" s="8" t="s">
        <v>151</v>
      </c>
      <c r="F8" s="36" t="s">
        <v>152</v>
      </c>
      <c r="G8" s="8" t="s">
        <v>17</v>
      </c>
      <c r="H8" s="8" t="s">
        <v>153</v>
      </c>
    </row>
    <row r="9" ht="45.0" customHeight="1">
      <c r="B9" s="8" t="s">
        <v>154</v>
      </c>
      <c r="C9" s="8" t="s">
        <v>155</v>
      </c>
      <c r="D9" s="8" t="s">
        <v>156</v>
      </c>
      <c r="E9" s="8" t="s">
        <v>157</v>
      </c>
      <c r="F9" s="36" t="s">
        <v>158</v>
      </c>
      <c r="G9" s="8" t="s">
        <v>142</v>
      </c>
      <c r="H9" s="8" t="s">
        <v>159</v>
      </c>
    </row>
    <row r="10" ht="45.0" customHeight="1">
      <c r="B10" s="8" t="s">
        <v>160</v>
      </c>
      <c r="C10" s="8" t="s">
        <v>155</v>
      </c>
      <c r="D10" s="8" t="s">
        <v>161</v>
      </c>
      <c r="E10" s="8" t="s">
        <v>162</v>
      </c>
      <c r="F10" s="36" t="s">
        <v>163</v>
      </c>
      <c r="G10" s="8" t="s">
        <v>164</v>
      </c>
      <c r="H10" s="8" t="s">
        <v>165</v>
      </c>
    </row>
    <row r="11" ht="45.0" customHeight="1">
      <c r="B11" s="8" t="s">
        <v>55</v>
      </c>
      <c r="C11" s="8" t="s">
        <v>166</v>
      </c>
      <c r="D11" s="8" t="s">
        <v>167</v>
      </c>
      <c r="E11" s="8" t="s">
        <v>168</v>
      </c>
      <c r="F11" s="36" t="s">
        <v>169</v>
      </c>
      <c r="G11" s="8" t="s">
        <v>170</v>
      </c>
      <c r="H11" s="8" t="s">
        <v>171</v>
      </c>
    </row>
    <row r="12" ht="45.0" customHeight="1">
      <c r="B12" s="8" t="s">
        <v>68</v>
      </c>
      <c r="C12" s="8" t="s">
        <v>172</v>
      </c>
      <c r="D12" s="8" t="s">
        <v>173</v>
      </c>
      <c r="E12" s="8" t="s">
        <v>174</v>
      </c>
      <c r="F12" s="36" t="s">
        <v>175</v>
      </c>
      <c r="G12" s="8" t="s">
        <v>176</v>
      </c>
      <c r="H12" s="8" t="s">
        <v>177</v>
      </c>
    </row>
    <row r="13" ht="45.0" customHeight="1">
      <c r="B13" s="8" t="s">
        <v>74</v>
      </c>
      <c r="C13" s="8" t="s">
        <v>178</v>
      </c>
      <c r="D13" s="8" t="s">
        <v>179</v>
      </c>
      <c r="E13" s="8" t="s">
        <v>180</v>
      </c>
      <c r="F13" s="36" t="s">
        <v>181</v>
      </c>
      <c r="G13" s="8" t="s">
        <v>182</v>
      </c>
      <c r="H13" s="8" t="s">
        <v>183</v>
      </c>
    </row>
    <row r="14" ht="45.0" customHeight="1">
      <c r="B14" s="8" t="s">
        <v>81</v>
      </c>
      <c r="C14" s="8" t="s">
        <v>184</v>
      </c>
      <c r="D14" s="8" t="s">
        <v>185</v>
      </c>
      <c r="E14" s="8" t="s">
        <v>168</v>
      </c>
      <c r="F14" s="36" t="s">
        <v>186</v>
      </c>
      <c r="G14" s="8" t="s">
        <v>170</v>
      </c>
      <c r="H14" s="8" t="s">
        <v>187</v>
      </c>
    </row>
    <row r="15" ht="45.0" customHeight="1">
      <c r="B15" s="8" t="s">
        <v>188</v>
      </c>
      <c r="C15" s="8" t="s">
        <v>189</v>
      </c>
      <c r="D15" s="8" t="s">
        <v>190</v>
      </c>
      <c r="E15" s="8" t="s">
        <v>191</v>
      </c>
      <c r="F15" s="36" t="s">
        <v>192</v>
      </c>
      <c r="G15" s="8" t="s">
        <v>15</v>
      </c>
      <c r="H15" s="8" t="s">
        <v>193</v>
      </c>
    </row>
    <row r="16" ht="45.0" customHeight="1">
      <c r="B16" s="8" t="s">
        <v>194</v>
      </c>
      <c r="C16" s="8" t="s">
        <v>189</v>
      </c>
      <c r="D16" s="8" t="s">
        <v>195</v>
      </c>
      <c r="E16" s="8" t="s">
        <v>196</v>
      </c>
      <c r="F16" s="36" t="s">
        <v>197</v>
      </c>
      <c r="G16" s="8" t="s">
        <v>198</v>
      </c>
      <c r="H16" s="8" t="s">
        <v>199</v>
      </c>
    </row>
    <row r="17" ht="45.0" customHeight="1">
      <c r="B17" s="8" t="s">
        <v>200</v>
      </c>
      <c r="C17" s="8" t="s">
        <v>201</v>
      </c>
      <c r="D17" s="8" t="s">
        <v>202</v>
      </c>
      <c r="E17" s="8" t="s">
        <v>203</v>
      </c>
      <c r="F17" s="36" t="s">
        <v>204</v>
      </c>
      <c r="G17" s="8" t="s">
        <v>205</v>
      </c>
      <c r="H17" s="8" t="s">
        <v>206</v>
      </c>
    </row>
    <row r="18" ht="45.0" customHeight="1">
      <c r="B18" s="8" t="s">
        <v>207</v>
      </c>
      <c r="C18" s="8" t="s">
        <v>208</v>
      </c>
      <c r="D18" s="8" t="s">
        <v>209</v>
      </c>
      <c r="E18" s="8" t="s">
        <v>203</v>
      </c>
      <c r="F18" s="36" t="s">
        <v>210</v>
      </c>
      <c r="G18" s="8" t="s">
        <v>17</v>
      </c>
      <c r="H18" s="8" t="s">
        <v>211</v>
      </c>
    </row>
    <row r="19" ht="45.0" customHeight="1">
      <c r="B19" s="8" t="s">
        <v>212</v>
      </c>
      <c r="C19" s="8" t="s">
        <v>213</v>
      </c>
      <c r="D19" s="8" t="s">
        <v>214</v>
      </c>
      <c r="E19" s="8" t="s">
        <v>215</v>
      </c>
      <c r="F19" s="36" t="s">
        <v>216</v>
      </c>
      <c r="G19" s="8" t="s">
        <v>217</v>
      </c>
      <c r="H19" s="8" t="s">
        <v>218</v>
      </c>
    </row>
    <row r="20" ht="45.0" customHeight="1">
      <c r="B20" s="8" t="s">
        <v>117</v>
      </c>
      <c r="C20" s="8" t="s">
        <v>219</v>
      </c>
      <c r="D20" s="8" t="s">
        <v>220</v>
      </c>
      <c r="E20" s="8" t="s">
        <v>151</v>
      </c>
      <c r="F20" s="36" t="s">
        <v>221</v>
      </c>
      <c r="G20" s="8" t="s">
        <v>15</v>
      </c>
      <c r="H20" s="8" t="s">
        <v>222</v>
      </c>
    </row>
    <row r="21" ht="45.0" customHeight="1">
      <c r="B21" s="37" t="s">
        <v>95</v>
      </c>
      <c r="C21" s="8" t="s">
        <v>223</v>
      </c>
      <c r="D21" s="8" t="s">
        <v>224</v>
      </c>
      <c r="E21" s="8" t="s">
        <v>225</v>
      </c>
      <c r="F21" s="8"/>
      <c r="G21" s="8" t="s">
        <v>96</v>
      </c>
      <c r="H21" s="8" t="s">
        <v>226</v>
      </c>
    </row>
    <row r="22" ht="45.0" customHeight="1">
      <c r="B22" s="37" t="s">
        <v>227</v>
      </c>
      <c r="C22" s="8" t="s">
        <v>228</v>
      </c>
      <c r="D22" s="8" t="s">
        <v>229</v>
      </c>
      <c r="E22" s="8" t="s">
        <v>225</v>
      </c>
      <c r="F22" s="8"/>
      <c r="G22" s="8" t="s">
        <v>96</v>
      </c>
      <c r="H22" s="8" t="s">
        <v>230</v>
      </c>
    </row>
    <row r="23" ht="45.0" customHeight="1">
      <c r="B23" s="37" t="s">
        <v>122</v>
      </c>
      <c r="C23" s="8" t="s">
        <v>231</v>
      </c>
      <c r="D23" s="8" t="s">
        <v>232</v>
      </c>
      <c r="E23" s="8" t="s">
        <v>225</v>
      </c>
      <c r="F23" s="8"/>
      <c r="G23" s="8" t="s">
        <v>96</v>
      </c>
      <c r="H23" s="8" t="s">
        <v>233</v>
      </c>
    </row>
    <row r="24" ht="45.0" customHeight="1">
      <c r="B24" s="37" t="s">
        <v>47</v>
      </c>
      <c r="C24" s="8" t="s">
        <v>234</v>
      </c>
      <c r="D24" s="8" t="s">
        <v>235</v>
      </c>
      <c r="E24" s="8" t="s">
        <v>225</v>
      </c>
      <c r="F24" s="8"/>
      <c r="G24" s="8" t="s">
        <v>96</v>
      </c>
      <c r="H24" s="8" t="s">
        <v>236</v>
      </c>
    </row>
    <row r="25" ht="45.0" customHeight="1">
      <c r="B25" s="37" t="s">
        <v>57</v>
      </c>
      <c r="C25" s="8" t="s">
        <v>237</v>
      </c>
      <c r="D25" s="8" t="s">
        <v>238</v>
      </c>
      <c r="E25" s="8" t="s">
        <v>225</v>
      </c>
      <c r="F25" s="8"/>
      <c r="G25" s="8" t="s">
        <v>96</v>
      </c>
      <c r="H25" s="8" t="s">
        <v>239</v>
      </c>
    </row>
    <row r="26" ht="45.0" customHeight="1">
      <c r="B26" s="37" t="s">
        <v>75</v>
      </c>
      <c r="C26" s="8" t="s">
        <v>240</v>
      </c>
      <c r="D26" s="8" t="s">
        <v>241</v>
      </c>
      <c r="E26" s="8" t="s">
        <v>225</v>
      </c>
      <c r="F26" s="8"/>
      <c r="G26" s="8" t="s">
        <v>96</v>
      </c>
      <c r="H26" s="8" t="s">
        <v>242</v>
      </c>
    </row>
    <row r="27" ht="45.0" customHeight="1">
      <c r="B27" s="37" t="s">
        <v>109</v>
      </c>
      <c r="C27" s="8" t="s">
        <v>243</v>
      </c>
      <c r="D27" s="8" t="s">
        <v>244</v>
      </c>
      <c r="E27" s="8" t="s">
        <v>225</v>
      </c>
      <c r="F27" s="8"/>
      <c r="G27" s="8" t="s">
        <v>96</v>
      </c>
      <c r="H27" s="8" t="s">
        <v>245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5:$H$27"/>
  <mergeCells count="2">
    <mergeCell ref="B2:H2"/>
    <mergeCell ref="B3:H3"/>
  </mergeCells>
  <hyperlinks>
    <hyperlink r:id="rId1" ref="F6"/>
    <hyperlink r:id="rId2" ref="F7"/>
    <hyperlink r:id="rId3" ref="F8"/>
    <hyperlink r:id="rId4" ref="F9"/>
    <hyperlink r:id="rId5" ref="F10"/>
    <hyperlink r:id="rId6" ref="F11"/>
    <hyperlink r:id="rId7" ref="F12"/>
    <hyperlink r:id="rId8" ref="F13"/>
    <hyperlink r:id="rId9" ref="F14"/>
    <hyperlink r:id="rId10" ref="F15"/>
    <hyperlink r:id="rId11" ref="F16"/>
    <hyperlink r:id="rId12" ref="F17"/>
    <hyperlink r:id="rId13" ref="F18"/>
    <hyperlink r:id="rId14" ref="F19"/>
    <hyperlink r:id="rId15" ref="F20"/>
  </hyperlinks>
  <printOptions/>
  <pageMargins bottom="0.5" footer="0.0" header="0.0" left="0.25" right="0.25" top="0.5"/>
  <pageSetup fitToHeight="0" orientation="landscape"/>
  <headerFooter>
    <oddFooter>&amp;CUFERSA — Projeto de Rádio Enlace | João Pedro Fernandes de Aquino&amp;RPágina &amp;P de </oddFooter>
  </headerFooter>
  <drawing r:id="rId16"/>
</worksheet>
</file>